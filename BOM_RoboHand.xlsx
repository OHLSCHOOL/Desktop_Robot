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11" documentId="8_{607092EA-2951-4854-8FB1-CCC3EACF42DC}" xr6:coauthVersionLast="47" xr6:coauthVersionMax="47" xr10:uidLastSave="{19816693-02D6-4703-A3B3-E8417975BAD2}"/>
  <bookViews>
    <workbookView xWindow="-108" yWindow="-108" windowWidth="23256" windowHeight="12456" xr2:uid="{00000000-000D-0000-FFFF-FFFF00000000}"/>
  </bookViews>
  <sheets>
    <sheet name="Product price list" sheetId="1" r:id="rId1"/>
  </sheets>
  <definedNames>
    <definedName name="ColumnTitle1">ProductPriceList[[#Headers],[Product number]]</definedName>
    <definedName name="_xlnm.Print_Titles" localSheetId="0">'Product price list'!$9:$9</definedName>
    <definedName name="RowTitleRegion1..F5">'Product price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5" i="1"/>
  <c r="G26" i="1"/>
  <c r="G24" i="1"/>
  <c r="G23" i="1"/>
  <c r="G22" i="1"/>
  <c r="G21" i="1"/>
  <c r="G20" i="1"/>
  <c r="G19" i="1"/>
  <c r="G17" i="1"/>
  <c r="G16" i="1"/>
  <c r="G15" i="1"/>
  <c r="G14" i="1"/>
  <c r="G13" i="1"/>
  <c r="G12" i="1"/>
  <c r="G11" i="1"/>
  <c r="G10" i="1"/>
  <c r="G27" i="1" l="1"/>
  <c r="G18" i="1"/>
</calcChain>
</file>

<file path=xl/sharedStrings.xml><?xml version="1.0" encoding="utf-8"?>
<sst xmlns="http://schemas.openxmlformats.org/spreadsheetml/2006/main" count="54" uniqueCount="54">
  <si>
    <t>Name</t>
  </si>
  <si>
    <t>Description</t>
  </si>
  <si>
    <t>Product number</t>
  </si>
  <si>
    <t>Desktop Robot</t>
  </si>
  <si>
    <t>material list subject to change</t>
  </si>
  <si>
    <t>9g servo motor</t>
  </si>
  <si>
    <t>unit price</t>
  </si>
  <si>
    <t>55g servo motor</t>
  </si>
  <si>
    <t>micro controller</t>
  </si>
  <si>
    <t>ESP32 super mini, Dev C board</t>
  </si>
  <si>
    <t xml:space="preserve">x and y axis with press switch </t>
  </si>
  <si>
    <t>DC power supply</t>
  </si>
  <si>
    <t>OLED screen</t>
  </si>
  <si>
    <t>power switch</t>
  </si>
  <si>
    <t>power input</t>
  </si>
  <si>
    <t>SSD1306 small OLED display</t>
  </si>
  <si>
    <t>OHLSCHOOL ROBOTICS</t>
  </si>
  <si>
    <t>wall wart style plug 120v to 5V 3A DC</t>
  </si>
  <si>
    <t>on/off switch</t>
  </si>
  <si>
    <t>9</t>
  </si>
  <si>
    <t>Resistor R1</t>
  </si>
  <si>
    <t>Resistor R2</t>
  </si>
  <si>
    <t>Resistor R3,R4</t>
  </si>
  <si>
    <t>4.7k ohm</t>
  </si>
  <si>
    <t>100 ohm</t>
  </si>
  <si>
    <t xml:space="preserve">220 ohm </t>
  </si>
  <si>
    <t>Capacitor C1</t>
  </si>
  <si>
    <t xml:space="preserve">1000uF </t>
  </si>
  <si>
    <t>Capacitor C2,3,4,5,6</t>
  </si>
  <si>
    <t>0.1uF</t>
  </si>
  <si>
    <t>joystick KY-023</t>
  </si>
  <si>
    <t>Quantity</t>
  </si>
  <si>
    <t>LED</t>
  </si>
  <si>
    <t>Red LED  Bulb</t>
  </si>
  <si>
    <t>1</t>
  </si>
  <si>
    <t>total $ per robot</t>
  </si>
  <si>
    <t>$0.05</t>
  </si>
  <si>
    <t>DC Barrel  jack</t>
  </si>
  <si>
    <t>Last Updated: 5/21/26</t>
  </si>
  <si>
    <t>JST-XH connectors</t>
  </si>
  <si>
    <t>2pc-2pin, 4pc-3pin, 1pc-4pin, 2pc-5pin (male/female)</t>
  </si>
  <si>
    <t>Schotty Diode D1</t>
  </si>
  <si>
    <t>1N5822G 40V 3A</t>
  </si>
  <si>
    <t>Phoenix connector</t>
  </si>
  <si>
    <t xml:space="preserve">2pin (male/female) </t>
  </si>
  <si>
    <t>PCB</t>
  </si>
  <si>
    <t>Circuit Board</t>
  </si>
  <si>
    <t>Mini servo Axis3 and gripper</t>
  </si>
  <si>
    <t>Standard Servo Axis1 &amp; 2</t>
  </si>
  <si>
    <t>Wire</t>
  </si>
  <si>
    <t>20awg 1ft  (5V connections)</t>
  </si>
  <si>
    <t>Ribbon Cable</t>
  </si>
  <si>
    <t xml:space="preserve">24awg 2ft (3.3V components) 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</si>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</sst>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14" x14ac:knownFonts="1">
    <font>
      <sz val="11"/>
      <name val="Calibri"/>
      <family val="1"/>
      <scheme val="minor"/>
    </font>
    <font>
      <sz val="8"/>
      <name val="Arial"/>
      <family val="2"/>
    </font>
    <font>
      <sz val="11"/>
      <color theme="1" tint="0.24994659260841701"/>
      <name val="Modern No. 20"/>
      <family val="2"/>
      <scheme val="major"/>
    </font>
    <font>
      <sz val="11"/>
      <name val="Calibri"/>
      <family val="1"/>
      <scheme val="minor"/>
    </font>
    <font>
      <i/>
      <sz val="11"/>
      <color theme="1" tint="0.24994659260841701"/>
      <name val="Modern No. 20"/>
      <family val="2"/>
      <scheme val="major"/>
    </font>
    <font>
      <sz val="11"/>
      <color theme="1" tint="0.24994659260841701"/>
      <name val="Calibri"/>
      <family val="1"/>
      <scheme val="minor"/>
    </font>
    <font>
      <b/>
      <sz val="18"/>
      <color theme="1" tint="0.24994659260841701"/>
      <name val="Modern No. 20"/>
      <family val="2"/>
      <scheme val="major"/>
    </font>
    <font>
      <b/>
      <sz val="55"/>
      <color theme="4" tint="-0.499984740745262"/>
      <name val="Modern No. 20"/>
      <family val="2"/>
      <scheme val="major"/>
    </font>
    <font>
      <sz val="10"/>
      <name val="Calibri"/>
      <family val="1"/>
      <scheme val="minor"/>
    </font>
    <font>
      <i/>
      <sz val="10"/>
      <name val="Calibri"/>
      <family val="2"/>
      <scheme val="minor"/>
    </font>
    <font>
      <sz val="12"/>
      <color theme="0"/>
      <name val="Modern No. 20"/>
      <family val="2"/>
      <scheme val="major"/>
    </font>
    <font>
      <sz val="10"/>
      <color theme="1" tint="0.2499465926084170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11"/>
      <color theme="0"/>
      <name val="Modern No. 20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6795556505021"/>
        <bgColor theme="7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/>
      <bottom/>
      <diagonal/>
    </border>
    <border>
      <left/>
      <right/>
      <top style="thick">
        <color theme="4"/>
      </top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 style="thick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theme="4"/>
      </right>
      <top/>
      <bottom/>
      <diagonal/>
    </border>
  </borders>
  <cellStyleXfs count="12">
    <xf numFmtId="0" fontId="0" fillId="3" borderId="0">
      <alignment horizontal="left" vertical="center" wrapText="1"/>
    </xf>
    <xf numFmtId="0" fontId="10" fillId="0" borderId="0" applyNumberFormat="0" applyFill="0" applyProtection="0">
      <alignment horizontal="left" vertical="center" wrapText="1" indent="1"/>
    </xf>
    <xf numFmtId="0" fontId="4" fillId="0" borderId="0" applyNumberFormat="0" applyFill="0" applyProtection="0">
      <alignment horizontal="right" vertical="center"/>
    </xf>
    <xf numFmtId="0" fontId="11" fillId="0" borderId="0" applyNumberFormat="0" applyFill="0" applyProtection="0">
      <alignment horizontal="left" vertical="center" indent="1"/>
    </xf>
    <xf numFmtId="0" fontId="6" fillId="0" borderId="0" applyNumberFormat="0" applyFill="0" applyBorder="0" applyProtection="0">
      <alignment horizontal="left" vertical="center"/>
    </xf>
    <xf numFmtId="164" fontId="3" fillId="0" borderId="0" applyFont="0" applyFill="0" applyBorder="0" applyProtection="0">
      <alignment horizontal="right" vertical="center"/>
    </xf>
    <xf numFmtId="0" fontId="7" fillId="0" borderId="0" applyNumberFormat="0" applyFill="0" applyBorder="0" applyProtection="0">
      <alignment horizontal="center" vertical="center"/>
    </xf>
    <xf numFmtId="14" fontId="4" fillId="2" borderId="0" applyFill="0" applyBorder="0">
      <alignment horizontal="left" vertical="center"/>
    </xf>
    <xf numFmtId="0" fontId="4" fillId="0" borderId="0" applyNumberFormat="0" applyFill="0" applyBorder="0" applyProtection="0">
      <alignment horizontal="center" vertical="center"/>
    </xf>
    <xf numFmtId="165" fontId="2" fillId="2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horizontal="left" vertical="center" wrapText="1"/>
    </xf>
    <xf numFmtId="0" fontId="5" fillId="0" borderId="0" applyNumberFormat="0" applyFill="0" applyBorder="0" applyAlignment="0" applyProtection="0">
      <alignment horizontal="left" vertical="center" wrapText="1"/>
    </xf>
  </cellStyleXfs>
  <cellXfs count="44">
    <xf numFmtId="0" fontId="0" fillId="3" borderId="0" xfId="0">
      <alignment horizontal="left" vertical="center" wrapText="1"/>
    </xf>
    <xf numFmtId="0" fontId="0" fillId="3" borderId="0" xfId="0" applyAlignment="1">
      <alignment horizontal="left" vertical="top" wrapText="1"/>
    </xf>
    <xf numFmtId="0" fontId="7" fillId="3" borderId="0" xfId="6" applyFill="1" applyBorder="1">
      <alignment horizontal="center" vertical="center"/>
    </xf>
    <xf numFmtId="0" fontId="0" fillId="0" borderId="0" xfId="0" applyFill="1">
      <alignment horizontal="left" vertical="center" wrapText="1"/>
    </xf>
    <xf numFmtId="0" fontId="12" fillId="3" borderId="0" xfId="3" applyFont="1" applyFill="1" applyAlignment="1">
      <alignment horizontal="left" vertical="top" indent="1"/>
    </xf>
    <xf numFmtId="0" fontId="7" fillId="3" borderId="3" xfId="6" applyFill="1" applyBorder="1">
      <alignment horizontal="center" vertical="center"/>
    </xf>
    <xf numFmtId="0" fontId="0" fillId="3" borderId="0" xfId="0" applyAlignment="1">
      <alignment horizontal="left" vertical="center" wrapText="1" indent="1"/>
    </xf>
    <xf numFmtId="164" fontId="0" fillId="3" borderId="0" xfId="5" applyFont="1" applyFill="1" applyBorder="1" applyAlignment="1">
      <alignment horizontal="left" vertical="center" indent="1"/>
    </xf>
    <xf numFmtId="0" fontId="13" fillId="3" borderId="0" xfId="1" applyFont="1" applyFill="1">
      <alignment horizontal="left" vertical="center" wrapText="1" indent="1"/>
    </xf>
    <xf numFmtId="0" fontId="0" fillId="3" borderId="1" xfId="0" applyBorder="1">
      <alignment horizontal="left" vertical="center" wrapText="1"/>
    </xf>
    <xf numFmtId="0" fontId="0" fillId="3" borderId="1" xfId="0" applyBorder="1" applyAlignment="1">
      <alignment horizontal="left" vertical="top" wrapText="1"/>
    </xf>
    <xf numFmtId="0" fontId="0" fillId="3" borderId="5" xfId="0" applyBorder="1" applyAlignment="1">
      <alignment horizontal="left" vertical="top" wrapText="1"/>
    </xf>
    <xf numFmtId="0" fontId="7" fillId="3" borderId="7" xfId="6" applyFill="1" applyBorder="1">
      <alignment horizontal="center" vertical="center"/>
    </xf>
    <xf numFmtId="0" fontId="7" fillId="3" borderId="3" xfId="6" applyFill="1" applyBorder="1">
      <alignment horizontal="center" vertical="center"/>
    </xf>
    <xf numFmtId="0" fontId="7" fillId="3" borderId="2" xfId="6" applyFill="1" applyBorder="1">
      <alignment horizontal="center" vertical="center"/>
    </xf>
    <xf numFmtId="0" fontId="7" fillId="3" borderId="0" xfId="6" applyFill="1" applyBorder="1">
      <alignment horizontal="center" vertical="center"/>
    </xf>
    <xf numFmtId="0" fontId="7" fillId="3" borderId="4" xfId="6" applyFill="1" applyBorder="1">
      <alignment horizontal="center" vertical="center"/>
    </xf>
    <xf numFmtId="0" fontId="7" fillId="3" borderId="1" xfId="6" applyFill="1" applyBorder="1">
      <alignment horizontal="center" vertical="center"/>
    </xf>
    <xf numFmtId="0" fontId="9" fillId="3" borderId="0" xfId="0" applyFont="1" applyAlignment="1">
      <alignment horizontal="left" vertical="top" wrapText="1"/>
    </xf>
    <xf numFmtId="0" fontId="8" fillId="3" borderId="0" xfId="0" applyFont="1" applyAlignment="1">
      <alignment horizontal="left" vertical="top" wrapText="1"/>
    </xf>
    <xf numFmtId="0" fontId="6" fillId="3" borderId="3" xfId="4" applyFill="1" applyBorder="1" applyAlignment="1">
      <alignment horizontal="left"/>
    </xf>
    <xf numFmtId="0" fontId="6" fillId="3" borderId="6" xfId="4" applyFill="1" applyBorder="1" applyAlignment="1">
      <alignment horizontal="left"/>
    </xf>
    <xf numFmtId="0" fontId="0" fillId="3" borderId="0" xfId="0">
      <alignment horizontal="left" vertical="center" wrapText="1"/>
    </xf>
    <xf numFmtId="0" fontId="0" fillId="3" borderId="0" xfId="0" applyAlignment="1">
      <alignment horizontal="left" vertical="top" wrapText="1"/>
    </xf>
    <xf numFmtId="0" fontId="0" fillId="6" borderId="8" xfId="0" applyFill="1" applyBorder="1" applyAlignment="1">
      <alignment horizontal="left" vertical="center" wrapText="1" indent="1"/>
    </xf>
    <xf numFmtId="164" fontId="0" fillId="6" borderId="8" xfId="5" applyNumberFormat="1" applyFont="1" applyFill="1" applyBorder="1" applyAlignment="1">
      <alignment horizontal="left" vertical="center" indent="1"/>
    </xf>
    <xf numFmtId="164" fontId="0" fillId="4" borderId="8" xfId="0" applyNumberFormat="1" applyFill="1" applyBorder="1">
      <alignment horizontal="left" vertical="center" wrapText="1"/>
    </xf>
    <xf numFmtId="0" fontId="0" fillId="3" borderId="0" xfId="0" applyFill="1">
      <alignment horizontal="left" vertical="center" wrapText="1"/>
    </xf>
    <xf numFmtId="0" fontId="0" fillId="3" borderId="8" xfId="0" applyFill="1" applyBorder="1">
      <alignment horizontal="left" vertical="center" wrapText="1"/>
    </xf>
    <xf numFmtId="164" fontId="0" fillId="3" borderId="8" xfId="0" applyNumberFormat="1" applyFill="1" applyBorder="1">
      <alignment horizontal="left" vertical="center" wrapText="1"/>
    </xf>
    <xf numFmtId="0" fontId="0" fillId="3" borderId="0" xfId="0" applyFill="1" applyAlignment="1">
      <alignment horizontal="left" vertical="center" wrapText="1" indent="1"/>
    </xf>
    <xf numFmtId="0" fontId="13" fillId="5" borderId="8" xfId="1" applyFont="1" applyFill="1" applyBorder="1" applyAlignment="1">
      <alignment horizontal="left" vertical="center" wrapText="1" indent="1"/>
    </xf>
    <xf numFmtId="0" fontId="0" fillId="3" borderId="0" xfId="5" applyNumberFormat="1" applyFont="1" applyFill="1" applyBorder="1" applyAlignment="1">
      <alignment horizontal="left" vertical="center" indent="1"/>
    </xf>
    <xf numFmtId="0" fontId="0" fillId="6" borderId="9" xfId="5" applyNumberFormat="1" applyFont="1" applyFill="1" applyBorder="1" applyAlignment="1">
      <alignment horizontal="left" vertical="center" indent="1"/>
    </xf>
    <xf numFmtId="164" fontId="0" fillId="3" borderId="8" xfId="5" applyFont="1" applyFill="1" applyBorder="1" applyAlignment="1">
      <alignment horizontal="left" vertical="center" indent="1"/>
    </xf>
    <xf numFmtId="0" fontId="0" fillId="3" borderId="8" xfId="0" applyNumberFormat="1" applyFill="1" applyBorder="1">
      <alignment horizontal="left" vertical="center" wrapText="1"/>
    </xf>
    <xf numFmtId="0" fontId="0" fillId="3" borderId="0" xfId="0" applyNumberFormat="1" applyFill="1" applyAlignment="1">
      <alignment horizontal="left" vertical="center" wrapText="1" indent="1"/>
    </xf>
    <xf numFmtId="164" fontId="0" fillId="3" borderId="8" xfId="0" applyNumberFormat="1" applyFill="1" applyBorder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 indent="1"/>
    </xf>
    <xf numFmtId="0" fontId="0" fillId="3" borderId="8" xfId="0" applyNumberFormat="1" applyFill="1" applyBorder="1" applyAlignment="1">
      <alignment horizontal="left" vertical="center" wrapText="1" indent="1"/>
    </xf>
    <xf numFmtId="0" fontId="0" fillId="3" borderId="10" xfId="0" applyBorder="1" applyAlignment="1">
      <alignment horizontal="left" vertical="top" wrapText="1"/>
    </xf>
    <xf numFmtId="0" fontId="0" fillId="3" borderId="10" xfId="0" applyBorder="1">
      <alignment horizontal="left" vertical="center" wrapText="1"/>
    </xf>
    <xf numFmtId="0" fontId="0" fillId="7" borderId="0" xfId="0" applyFill="1">
      <alignment horizontal="left" vertical="center" wrapText="1"/>
    </xf>
    <xf numFmtId="164" fontId="0" fillId="3" borderId="0" xfId="0" applyNumberFormat="1" applyFill="1" applyAlignment="1">
      <alignment horizontal="left" vertical="center" wrapText="1" indent="1"/>
    </xf>
  </cellXfs>
  <cellStyles count="12">
    <cellStyle name="Currency" xfId="5" builtinId="4" customBuiltin="1"/>
    <cellStyle name="Date" xfId="7" xr:uid="{00000000-0005-0000-0000-000001000000}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Normal" xfId="0" builtinId="0" customBuiltin="1"/>
    <cellStyle name="Phone" xfId="9" xr:uid="{00000000-0005-0000-0000-00000A000000}"/>
    <cellStyle name="Title" xfId="6" builtinId="15" customBuiltin="1"/>
  </cellStyles>
  <dxfs count="10">
    <dxf>
      <numFmt numFmtId="164" formatCode="&quot;$&quot;#,##0.00"/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Modern No. 20"/>
        <family val="1"/>
        <scheme val="major"/>
      </font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2">
    <tableStyle name="Table Style 1" pivot="0" count="2" xr9:uid="{FF8A4A65-F9D5-46A6-8895-DF14655F3F21}">
      <tableStyleElement type="wholeTable" dxfId="9"/>
      <tableStyleElement type="headerRow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PriceList" displayName="ProductPriceList" ref="B9:F18" totalsRowCount="1" headerRowDxfId="7">
  <tableColumns count="5">
    <tableColumn id="1" xr3:uid="{00000000-0010-0000-0000-000001000000}" name="Product number" totalsRowLabel="9" totalsRowDxfId="5"/>
    <tableColumn id="2" xr3:uid="{00000000-0010-0000-0000-000002000000}" name="Name" totalsRowLabel="LED" dataDxfId="6" totalsRowDxfId="3"/>
    <tableColumn id="3" xr3:uid="{00000000-0010-0000-0000-000003000000}" name="Description" totalsRowLabel="Red LED  Bulb" totalsRowDxfId="2"/>
    <tableColumn id="4" xr3:uid="{00000000-0010-0000-0000-000004000000}" name="unit price" totalsRowLabel="$0.05" totalsRowDxfId="0"/>
    <tableColumn id="5" xr3:uid="{00000000-0010-0000-0000-000005000000}" name="Quantity" totalsRowLabel="1" dataDxfId="4" totalsRowDxfId="1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Custom 17">
      <a:majorFont>
        <a:latin typeface="Modern No. 20"/>
        <a:ea typeface=""/>
        <a:cs typeface=""/>
      </a:majorFont>
      <a:minorFont>
        <a:latin typeface="Calibri"/>
        <a:ea typeface=""/>
        <a:cs typeface="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 fitToPage="1"/>
  </sheetPr>
  <dimension ref="A1:Q174"/>
  <sheetViews>
    <sheetView showGridLines="0" tabSelected="1" topLeftCell="A14" zoomScaleNormal="100" zoomScalePageLayoutView="80" workbookViewId="0">
      <selection activeCell="E18" sqref="E18"/>
    </sheetView>
  </sheetViews>
  <sheetFormatPr defaultRowHeight="30" customHeight="1" x14ac:dyDescent="0.3"/>
  <cols>
    <col min="1" max="1" width="20.33203125" customWidth="1"/>
    <col min="2" max="2" width="23.5546875" customWidth="1"/>
    <col min="3" max="3" width="40.5546875" customWidth="1"/>
    <col min="4" max="4" width="50.5546875" customWidth="1"/>
    <col min="5" max="5" width="21" customWidth="1"/>
    <col min="6" max="6" width="19.88671875" customWidth="1"/>
    <col min="7" max="7" width="20.33203125" customWidth="1"/>
  </cols>
  <sheetData>
    <row r="1" spans="1:17" ht="39" customHeight="1" thickBot="1" x14ac:dyDescent="0.35">
      <c r="D1" s="9"/>
      <c r="E1" s="9"/>
      <c r="F1" s="9"/>
      <c r="H1" s="27"/>
      <c r="I1" s="3"/>
      <c r="J1" s="3"/>
      <c r="K1" s="3"/>
      <c r="L1" s="3"/>
      <c r="M1" s="3"/>
      <c r="N1" s="3"/>
      <c r="O1" s="3"/>
      <c r="P1" s="3"/>
      <c r="Q1" s="3"/>
    </row>
    <row r="2" spans="1:17" ht="25.2" customHeight="1" thickTop="1" x14ac:dyDescent="0.35">
      <c r="B2" s="20" t="s">
        <v>16</v>
      </c>
      <c r="C2" s="21"/>
      <c r="D2" s="12" t="s">
        <v>3</v>
      </c>
      <c r="E2" s="13"/>
      <c r="F2" s="13"/>
      <c r="H2" s="27"/>
      <c r="I2" s="3"/>
      <c r="J2" s="3"/>
      <c r="K2" s="3"/>
      <c r="L2" s="3"/>
      <c r="M2" s="3"/>
      <c r="N2" s="3"/>
      <c r="O2" s="3"/>
      <c r="P2" s="3"/>
      <c r="Q2" s="3"/>
    </row>
    <row r="3" spans="1:17" ht="22.2" customHeight="1" x14ac:dyDescent="0.3">
      <c r="B3" s="22"/>
      <c r="C3" s="41"/>
      <c r="D3" s="14"/>
      <c r="E3" s="15"/>
      <c r="F3" s="15"/>
      <c r="H3" s="27"/>
      <c r="I3" s="3"/>
      <c r="J3" s="3"/>
      <c r="K3" s="3"/>
      <c r="L3" s="3"/>
      <c r="M3" s="3"/>
      <c r="N3" s="3"/>
      <c r="O3" s="3"/>
      <c r="P3" s="3"/>
      <c r="Q3" s="3"/>
    </row>
    <row r="4" spans="1:17" ht="11.4" customHeight="1" x14ac:dyDescent="0.3">
      <c r="B4" s="23"/>
      <c r="C4" s="40"/>
      <c r="D4" s="14"/>
      <c r="E4" s="15"/>
      <c r="F4" s="15"/>
      <c r="H4" s="27"/>
      <c r="I4" s="3"/>
      <c r="J4" s="3"/>
      <c r="K4" s="3"/>
      <c r="L4" s="3"/>
      <c r="M4" s="3"/>
      <c r="N4" s="3"/>
      <c r="O4" s="3"/>
      <c r="P4" s="3"/>
      <c r="Q4" s="3"/>
    </row>
    <row r="5" spans="1:17" ht="14.4" customHeight="1" thickBot="1" x14ac:dyDescent="0.35">
      <c r="B5" s="10"/>
      <c r="C5" s="11"/>
      <c r="D5" s="16"/>
      <c r="E5" s="17"/>
      <c r="F5" s="17"/>
      <c r="H5" s="27"/>
      <c r="I5" s="3"/>
      <c r="J5" s="3"/>
      <c r="K5" s="3"/>
      <c r="L5" s="3"/>
      <c r="M5" s="3"/>
      <c r="N5" s="3"/>
      <c r="O5" s="3"/>
      <c r="P5" s="3"/>
      <c r="Q5" s="3"/>
    </row>
    <row r="6" spans="1:17" ht="11.1" customHeight="1" thickTop="1" x14ac:dyDescent="0.3">
      <c r="B6" s="1"/>
      <c r="C6" s="1"/>
      <c r="D6" s="5"/>
      <c r="E6" s="5"/>
      <c r="F6" s="5"/>
      <c r="H6" s="27"/>
      <c r="I6" s="3"/>
      <c r="J6" s="3"/>
      <c r="K6" s="3"/>
      <c r="L6" s="3"/>
      <c r="M6" s="3"/>
      <c r="N6" s="3"/>
      <c r="O6" s="3"/>
      <c r="P6" s="3"/>
      <c r="Q6" s="3"/>
    </row>
    <row r="7" spans="1:17" ht="20.399999999999999" customHeight="1" x14ac:dyDescent="0.3">
      <c r="B7" s="19" t="s">
        <v>4</v>
      </c>
      <c r="C7" s="19"/>
      <c r="D7" s="2"/>
      <c r="E7" s="2"/>
      <c r="F7" s="2"/>
      <c r="H7" s="27"/>
      <c r="I7" s="3"/>
      <c r="J7" s="3"/>
      <c r="K7" s="3"/>
      <c r="L7" s="3"/>
      <c r="M7" s="3"/>
      <c r="N7" s="3"/>
      <c r="O7" s="3"/>
      <c r="P7" s="3"/>
      <c r="Q7" s="3"/>
    </row>
    <row r="8" spans="1:17" ht="25.8" customHeight="1" x14ac:dyDescent="0.3">
      <c r="B8" s="18"/>
      <c r="C8" s="18"/>
      <c r="D8" s="2"/>
      <c r="E8" s="2"/>
      <c r="F8" s="4" t="s">
        <v>38</v>
      </c>
      <c r="H8" s="27"/>
      <c r="I8" s="3"/>
      <c r="J8" s="3"/>
      <c r="K8" s="3"/>
      <c r="L8" s="3"/>
      <c r="M8" s="3"/>
      <c r="N8" s="3"/>
      <c r="O8" s="3"/>
      <c r="P8" s="3"/>
      <c r="Q8" s="3"/>
    </row>
    <row r="9" spans="1:17" ht="28.5" customHeight="1" x14ac:dyDescent="0.3">
      <c r="B9" s="8" t="s">
        <v>2</v>
      </c>
      <c r="C9" s="8" t="s">
        <v>0</v>
      </c>
      <c r="D9" s="8" t="s">
        <v>1</v>
      </c>
      <c r="E9" s="8" t="s">
        <v>6</v>
      </c>
      <c r="F9" s="8" t="s">
        <v>31</v>
      </c>
      <c r="G9" s="31" t="s">
        <v>35</v>
      </c>
      <c r="H9" s="27"/>
      <c r="I9" s="3"/>
      <c r="J9" s="42"/>
      <c r="K9" s="3"/>
      <c r="L9" s="3"/>
      <c r="M9" s="3"/>
      <c r="N9" s="3"/>
      <c r="O9" s="3"/>
      <c r="P9" s="3"/>
      <c r="Q9" s="3"/>
    </row>
    <row r="10" spans="1:17" ht="39.6" customHeight="1" x14ac:dyDescent="0.3">
      <c r="B10" s="6">
        <v>1</v>
      </c>
      <c r="C10" s="6" t="s">
        <v>5</v>
      </c>
      <c r="D10" s="6" t="s">
        <v>47</v>
      </c>
      <c r="E10" s="7">
        <v>3.5</v>
      </c>
      <c r="F10" s="32">
        <v>2</v>
      </c>
      <c r="G10" s="34">
        <f>SUM(E10*F10)</f>
        <v>7</v>
      </c>
      <c r="H10" s="27"/>
      <c r="I10" s="3"/>
      <c r="J10" s="3"/>
      <c r="K10" s="3"/>
      <c r="L10" s="3"/>
      <c r="M10" s="3"/>
      <c r="N10" s="3"/>
      <c r="O10" s="3"/>
      <c r="P10" s="3"/>
      <c r="Q10" s="3"/>
    </row>
    <row r="11" spans="1:17" ht="39.6" customHeight="1" x14ac:dyDescent="0.3">
      <c r="B11" s="6">
        <v>2</v>
      </c>
      <c r="C11" s="6" t="s">
        <v>7</v>
      </c>
      <c r="D11" s="6" t="s">
        <v>48</v>
      </c>
      <c r="E11" s="7">
        <v>4</v>
      </c>
      <c r="F11" s="32">
        <v>2</v>
      </c>
      <c r="G11" s="34">
        <f>SUM(E11*F11)</f>
        <v>8</v>
      </c>
      <c r="H11" s="27"/>
      <c r="I11" s="3"/>
      <c r="J11" s="3"/>
      <c r="K11" s="3"/>
      <c r="L11" s="3"/>
      <c r="M11" s="3"/>
      <c r="N11" s="3"/>
      <c r="O11" s="3"/>
      <c r="P11" s="3"/>
      <c r="Q11" s="3"/>
    </row>
    <row r="12" spans="1:17" ht="39.6" customHeight="1" x14ac:dyDescent="0.3">
      <c r="B12" s="6">
        <v>3</v>
      </c>
      <c r="C12" s="6" t="s">
        <v>8</v>
      </c>
      <c r="D12" s="6" t="s">
        <v>9</v>
      </c>
      <c r="E12" s="7">
        <v>4</v>
      </c>
      <c r="F12" s="32">
        <v>1</v>
      </c>
      <c r="G12" s="34">
        <f>SUM(E12*F12)</f>
        <v>4</v>
      </c>
      <c r="H12" s="27"/>
      <c r="I12" s="3"/>
      <c r="J12" s="3"/>
      <c r="K12" s="3"/>
      <c r="L12" s="3"/>
      <c r="M12" s="3"/>
      <c r="N12" s="3"/>
      <c r="O12" s="3"/>
      <c r="P12" s="3"/>
      <c r="Q12" s="3"/>
    </row>
    <row r="13" spans="1:17" ht="39.6" customHeight="1" x14ac:dyDescent="0.3">
      <c r="B13" s="6">
        <v>4</v>
      </c>
      <c r="C13" s="6" t="s">
        <v>30</v>
      </c>
      <c r="D13" s="6" t="s">
        <v>10</v>
      </c>
      <c r="E13" s="7">
        <v>1</v>
      </c>
      <c r="F13" s="32">
        <v>2</v>
      </c>
      <c r="G13" s="34">
        <f>SUM(E13*F13)</f>
        <v>2</v>
      </c>
      <c r="H13" s="27"/>
      <c r="I13" s="3"/>
      <c r="J13" s="3"/>
      <c r="K13" s="3"/>
      <c r="L13" s="3"/>
      <c r="M13" s="3"/>
      <c r="N13" s="3"/>
      <c r="O13" s="3"/>
      <c r="P13" s="3"/>
      <c r="Q13" s="3"/>
    </row>
    <row r="14" spans="1:17" ht="34.799999999999997" customHeight="1" x14ac:dyDescent="0.3">
      <c r="B14" s="6">
        <v>5</v>
      </c>
      <c r="C14" s="6" t="s">
        <v>11</v>
      </c>
      <c r="D14" s="6" t="s">
        <v>17</v>
      </c>
      <c r="E14" s="7">
        <v>6</v>
      </c>
      <c r="F14" s="32">
        <v>1</v>
      </c>
      <c r="G14" s="34">
        <f>SUM(E14*F14)</f>
        <v>6</v>
      </c>
      <c r="H14" s="27"/>
      <c r="I14" s="3"/>
      <c r="J14" s="3"/>
      <c r="K14" s="3"/>
      <c r="L14" s="3"/>
      <c r="M14" s="3"/>
      <c r="N14" s="3"/>
      <c r="O14" s="3"/>
      <c r="P14" s="3"/>
      <c r="Q14" s="3"/>
    </row>
    <row r="15" spans="1:17" ht="36" customHeight="1" x14ac:dyDescent="0.3">
      <c r="A15" s="27"/>
      <c r="B15" s="6">
        <v>6</v>
      </c>
      <c r="C15" s="6" t="s">
        <v>37</v>
      </c>
      <c r="D15" s="6" t="s">
        <v>14</v>
      </c>
      <c r="E15" s="7">
        <v>0.25</v>
      </c>
      <c r="F15" s="32">
        <v>1</v>
      </c>
      <c r="G15" s="34">
        <f>SUM(E15*F15)</f>
        <v>0.25</v>
      </c>
      <c r="H15" s="27"/>
      <c r="I15" s="3"/>
      <c r="J15" s="3"/>
      <c r="K15" s="3"/>
      <c r="L15" s="3"/>
      <c r="M15" s="3"/>
      <c r="N15" s="3"/>
      <c r="O15" s="3"/>
      <c r="P15" s="3"/>
      <c r="Q15" s="3"/>
    </row>
    <row r="16" spans="1:17" ht="30" customHeight="1" x14ac:dyDescent="0.3">
      <c r="A16" s="27"/>
      <c r="B16" s="6">
        <v>7</v>
      </c>
      <c r="C16" s="6" t="s">
        <v>12</v>
      </c>
      <c r="D16" s="6" t="s">
        <v>15</v>
      </c>
      <c r="E16" s="7">
        <v>2.5</v>
      </c>
      <c r="F16" s="32">
        <v>1</v>
      </c>
      <c r="G16" s="34">
        <f>SUM(E16*F16)</f>
        <v>2.5</v>
      </c>
      <c r="H16" s="27"/>
      <c r="I16" s="3"/>
      <c r="J16" s="3"/>
      <c r="K16" s="3"/>
      <c r="L16" s="3"/>
      <c r="M16" s="3"/>
      <c r="N16" s="3"/>
      <c r="O16" s="3"/>
      <c r="P16" s="3"/>
      <c r="Q16" s="3"/>
    </row>
    <row r="17" spans="1:17" ht="30" customHeight="1" x14ac:dyDescent="0.3">
      <c r="A17" s="27"/>
      <c r="B17" s="6">
        <v>8</v>
      </c>
      <c r="C17" s="6" t="s">
        <v>13</v>
      </c>
      <c r="D17" s="6" t="s">
        <v>18</v>
      </c>
      <c r="E17" s="7">
        <v>1</v>
      </c>
      <c r="F17" s="32">
        <v>1</v>
      </c>
      <c r="G17" s="34">
        <f>SUM(E17*F17)</f>
        <v>1</v>
      </c>
      <c r="H17" s="27"/>
      <c r="I17" s="3"/>
      <c r="J17" s="3"/>
      <c r="K17" s="3"/>
      <c r="L17" s="3"/>
      <c r="M17" s="3"/>
      <c r="N17" s="3"/>
      <c r="O17" s="3"/>
      <c r="P17" s="3"/>
      <c r="Q17" s="3"/>
    </row>
    <row r="18" spans="1:17" ht="30" customHeight="1" x14ac:dyDescent="0.3">
      <c r="A18" s="27"/>
      <c r="B18" s="30" t="s">
        <v>19</v>
      </c>
      <c r="C18" s="30" t="s">
        <v>32</v>
      </c>
      <c r="D18" s="30" t="s">
        <v>33</v>
      </c>
      <c r="E18" s="43" t="s">
        <v>36</v>
      </c>
      <c r="F18" s="36" t="s">
        <v>34</v>
      </c>
      <c r="G18" s="37">
        <f>SUM(E18*F18)</f>
        <v>0.05</v>
      </c>
      <c r="H18" s="27"/>
      <c r="I18" s="3"/>
      <c r="J18" s="3"/>
      <c r="K18" s="3"/>
      <c r="L18" s="3"/>
      <c r="M18" s="3"/>
      <c r="N18" s="3"/>
      <c r="O18" s="3"/>
      <c r="P18" s="3"/>
      <c r="Q18" s="3"/>
    </row>
    <row r="19" spans="1:17" ht="30" customHeight="1" x14ac:dyDescent="0.3">
      <c r="A19" s="27"/>
      <c r="B19" s="24">
        <v>10</v>
      </c>
      <c r="C19" s="24" t="s">
        <v>20</v>
      </c>
      <c r="D19" s="24" t="s">
        <v>25</v>
      </c>
      <c r="E19" s="25">
        <v>0.05</v>
      </c>
      <c r="F19" s="33">
        <v>1</v>
      </c>
      <c r="G19" s="25">
        <f>SUM(E19*F19)</f>
        <v>0.05</v>
      </c>
      <c r="H19" s="27"/>
      <c r="I19" s="3"/>
      <c r="J19" s="3"/>
      <c r="K19" s="3"/>
      <c r="L19" s="3"/>
      <c r="M19" s="3"/>
      <c r="N19" s="3"/>
      <c r="O19" s="3"/>
      <c r="P19" s="3"/>
      <c r="Q19" s="3"/>
    </row>
    <row r="20" spans="1:17" ht="30" customHeight="1" x14ac:dyDescent="0.3">
      <c r="A20" s="27"/>
      <c r="B20" s="24">
        <v>11</v>
      </c>
      <c r="C20" s="24" t="s">
        <v>21</v>
      </c>
      <c r="D20" s="24" t="s">
        <v>24</v>
      </c>
      <c r="E20" s="25">
        <v>0.05</v>
      </c>
      <c r="F20" s="33">
        <v>1</v>
      </c>
      <c r="G20" s="25">
        <f>SUM(E20*F20)</f>
        <v>0.05</v>
      </c>
      <c r="H20" s="27"/>
      <c r="I20" s="3"/>
      <c r="J20" s="3"/>
      <c r="K20" s="3"/>
      <c r="L20" s="3"/>
      <c r="M20" s="3"/>
      <c r="N20" s="3"/>
      <c r="O20" s="3"/>
      <c r="P20" s="3"/>
      <c r="Q20" s="3"/>
    </row>
    <row r="21" spans="1:17" ht="30" customHeight="1" x14ac:dyDescent="0.3">
      <c r="A21" s="27"/>
      <c r="B21" s="24">
        <v>12</v>
      </c>
      <c r="C21" s="24" t="s">
        <v>22</v>
      </c>
      <c r="D21" s="24" t="s">
        <v>23</v>
      </c>
      <c r="E21" s="25">
        <v>0.05</v>
      </c>
      <c r="F21" s="33">
        <v>2</v>
      </c>
      <c r="G21" s="25">
        <f>SUM(E21*F21)</f>
        <v>0.1</v>
      </c>
      <c r="H21" s="27"/>
      <c r="I21" s="3"/>
      <c r="J21" s="3"/>
      <c r="K21" s="3"/>
      <c r="L21" s="3"/>
      <c r="M21" s="3"/>
      <c r="N21" s="3"/>
      <c r="O21" s="3"/>
      <c r="P21" s="3"/>
      <c r="Q21" s="3"/>
    </row>
    <row r="22" spans="1:17" ht="30" customHeight="1" x14ac:dyDescent="0.3">
      <c r="A22" s="27"/>
      <c r="B22" s="24">
        <v>13</v>
      </c>
      <c r="C22" s="24" t="s">
        <v>26</v>
      </c>
      <c r="D22" s="24" t="s">
        <v>27</v>
      </c>
      <c r="E22" s="25">
        <v>0.05</v>
      </c>
      <c r="F22" s="33">
        <v>1</v>
      </c>
      <c r="G22" s="25">
        <f>SUM(E22*F22)</f>
        <v>0.05</v>
      </c>
      <c r="H22" s="27"/>
      <c r="I22" s="3"/>
      <c r="J22" s="3"/>
      <c r="K22" s="3"/>
      <c r="L22" s="3"/>
      <c r="M22" s="3"/>
      <c r="N22" s="3"/>
      <c r="O22" s="3"/>
      <c r="P22" s="3"/>
      <c r="Q22" s="3"/>
    </row>
    <row r="23" spans="1:17" ht="30" customHeight="1" x14ac:dyDescent="0.3">
      <c r="A23" s="27"/>
      <c r="B23" s="24">
        <v>14</v>
      </c>
      <c r="C23" s="24" t="s">
        <v>28</v>
      </c>
      <c r="D23" s="24" t="s">
        <v>29</v>
      </c>
      <c r="E23" s="25">
        <v>0.05</v>
      </c>
      <c r="F23" s="33">
        <v>5</v>
      </c>
      <c r="G23" s="25">
        <f>SUM(E23*F23)</f>
        <v>0.25</v>
      </c>
      <c r="H23" s="27"/>
      <c r="I23" s="3"/>
      <c r="J23" s="3"/>
      <c r="K23" s="3"/>
      <c r="L23" s="3"/>
      <c r="M23" s="3"/>
      <c r="N23" s="3"/>
      <c r="O23" s="3"/>
      <c r="P23" s="3"/>
      <c r="Q23" s="3"/>
    </row>
    <row r="24" spans="1:17" ht="30" customHeight="1" x14ac:dyDescent="0.3">
      <c r="A24" s="27"/>
      <c r="B24" s="24">
        <v>15</v>
      </c>
      <c r="C24" s="24" t="s">
        <v>41</v>
      </c>
      <c r="D24" s="24" t="s">
        <v>42</v>
      </c>
      <c r="E24" s="25">
        <v>0.05</v>
      </c>
      <c r="F24" s="33">
        <v>1</v>
      </c>
      <c r="G24" s="25">
        <f>SUM(E24*F24)</f>
        <v>0.05</v>
      </c>
      <c r="H24" s="27"/>
      <c r="I24" s="3"/>
      <c r="J24" s="3"/>
      <c r="K24" s="3"/>
      <c r="L24" s="3"/>
      <c r="M24" s="3"/>
      <c r="N24" s="3"/>
      <c r="O24" s="3"/>
      <c r="P24" s="3"/>
      <c r="Q24" s="3"/>
    </row>
    <row r="25" spans="1:17" ht="30" customHeight="1" x14ac:dyDescent="0.3">
      <c r="A25" s="27"/>
      <c r="B25" s="24">
        <v>16</v>
      </c>
      <c r="C25" s="24" t="s">
        <v>39</v>
      </c>
      <c r="D25" s="24" t="s">
        <v>40</v>
      </c>
      <c r="E25" s="25">
        <v>0.05</v>
      </c>
      <c r="F25" s="33">
        <v>9</v>
      </c>
      <c r="G25" s="25">
        <f>SUM(E25*F25)</f>
        <v>0.45</v>
      </c>
      <c r="H25" s="27"/>
      <c r="I25" s="3"/>
      <c r="J25" s="3"/>
      <c r="K25" s="3"/>
      <c r="L25" s="3"/>
      <c r="M25" s="3"/>
      <c r="N25" s="3"/>
      <c r="O25" s="3"/>
      <c r="P25" s="3"/>
      <c r="Q25" s="3"/>
    </row>
    <row r="26" spans="1:17" ht="30" customHeight="1" x14ac:dyDescent="0.3">
      <c r="A26" s="27"/>
      <c r="B26" s="24">
        <v>17</v>
      </c>
      <c r="C26" s="24" t="s">
        <v>43</v>
      </c>
      <c r="D26" s="24" t="s">
        <v>44</v>
      </c>
      <c r="E26" s="25">
        <v>0.05</v>
      </c>
      <c r="F26" s="33">
        <v>1</v>
      </c>
      <c r="G26" s="25">
        <f>SUM(E26*F26)</f>
        <v>0.05</v>
      </c>
      <c r="H26" s="27"/>
      <c r="I26" s="3"/>
      <c r="J26" s="3"/>
      <c r="K26" s="3"/>
      <c r="L26" s="3"/>
      <c r="M26" s="3"/>
      <c r="N26" s="3"/>
      <c r="O26" s="3"/>
      <c r="P26" s="3"/>
      <c r="Q26" s="3"/>
    </row>
    <row r="27" spans="1:17" ht="30" customHeight="1" x14ac:dyDescent="0.3">
      <c r="A27" s="27"/>
      <c r="B27" s="38">
        <v>18</v>
      </c>
      <c r="C27" s="38" t="s">
        <v>45</v>
      </c>
      <c r="D27" s="38" t="s">
        <v>46</v>
      </c>
      <c r="E27" s="37">
        <v>0.5</v>
      </c>
      <c r="F27" s="39">
        <v>1</v>
      </c>
      <c r="G27" s="37">
        <f>SUM(E27*F27)</f>
        <v>0.5</v>
      </c>
      <c r="H27" s="30"/>
      <c r="I27" s="3"/>
      <c r="J27" s="3"/>
      <c r="K27" s="3"/>
      <c r="L27" s="3"/>
      <c r="M27" s="3"/>
      <c r="N27" s="3"/>
      <c r="O27" s="3"/>
      <c r="P27" s="3"/>
      <c r="Q27" s="3"/>
    </row>
    <row r="28" spans="1:17" ht="30" customHeight="1" x14ac:dyDescent="0.3">
      <c r="A28" s="27"/>
      <c r="B28" s="24">
        <v>19</v>
      </c>
      <c r="C28" s="24" t="s">
        <v>49</v>
      </c>
      <c r="D28" s="24" t="s">
        <v>50</v>
      </c>
      <c r="E28" s="25">
        <v>0.5</v>
      </c>
      <c r="F28" s="33">
        <v>1</v>
      </c>
      <c r="G28" s="25">
        <f>SUM(E28*F28)</f>
        <v>0.5</v>
      </c>
      <c r="H28" s="27"/>
      <c r="I28" s="3"/>
      <c r="J28" s="3"/>
      <c r="K28" s="3"/>
      <c r="L28" s="3"/>
      <c r="M28" s="3"/>
      <c r="N28" s="3"/>
      <c r="O28" s="3"/>
      <c r="P28" s="3"/>
      <c r="Q28" s="3"/>
    </row>
    <row r="29" spans="1:17" ht="30" customHeight="1" x14ac:dyDescent="0.3">
      <c r="A29" s="27"/>
      <c r="B29" s="24">
        <v>20</v>
      </c>
      <c r="C29" s="24" t="s">
        <v>51</v>
      </c>
      <c r="D29" s="24" t="s">
        <v>52</v>
      </c>
      <c r="E29" s="25">
        <v>0.5</v>
      </c>
      <c r="F29" s="33">
        <v>2</v>
      </c>
      <c r="G29" s="25">
        <f>SUM(E29*F29)</f>
        <v>1</v>
      </c>
      <c r="H29" s="27"/>
      <c r="I29" s="3"/>
      <c r="J29" s="3"/>
      <c r="K29" s="3"/>
      <c r="L29" s="3"/>
      <c r="M29" s="3"/>
      <c r="N29" s="3"/>
      <c r="O29" s="3"/>
      <c r="P29" s="3"/>
      <c r="Q29" s="3"/>
    </row>
    <row r="30" spans="1:17" ht="30" customHeight="1" x14ac:dyDescent="0.3">
      <c r="A30" s="27"/>
      <c r="B30" s="28" t="s">
        <v>53</v>
      </c>
      <c r="C30" s="28"/>
      <c r="D30" s="28"/>
      <c r="E30" s="29"/>
      <c r="F30" s="35"/>
      <c r="G30" s="26">
        <f>SUM(G10:G29)</f>
        <v>33.850000000000009</v>
      </c>
      <c r="H30" s="27"/>
      <c r="I30" s="3"/>
      <c r="J30" s="3"/>
      <c r="K30" s="3"/>
      <c r="L30" s="3"/>
      <c r="M30" s="3"/>
      <c r="N30" s="3"/>
      <c r="O30" s="3"/>
      <c r="P30" s="3"/>
      <c r="Q30" s="3"/>
    </row>
    <row r="31" spans="1:17" ht="30" customHeight="1" x14ac:dyDescent="0.3">
      <c r="I31" s="3"/>
      <c r="J31" s="3"/>
      <c r="K31" s="3"/>
      <c r="L31" s="3"/>
      <c r="M31" s="3"/>
      <c r="N31" s="3"/>
      <c r="O31" s="3"/>
      <c r="P31" s="3"/>
      <c r="Q31" s="3"/>
    </row>
    <row r="32" spans="1:17" ht="30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30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30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30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30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30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30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30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30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30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30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30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30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30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30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30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30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30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30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30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30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30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30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30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30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30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30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30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30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30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30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30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30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30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30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30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30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30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30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30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30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30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30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30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30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30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30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30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30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30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30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30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30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30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30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30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30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30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30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30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30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30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30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30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30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30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30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30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30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30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30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30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30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30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30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30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30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30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30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30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30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30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30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30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30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30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30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30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30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30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30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30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30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30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30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30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30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30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30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30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30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30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30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30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30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30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30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30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30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30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30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30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30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30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30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30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30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30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30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30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30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30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30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30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30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30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30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30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30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30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30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30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30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30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30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30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30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30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30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30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30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30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30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</sheetData>
  <mergeCells count="7">
    <mergeCell ref="B5:C5"/>
    <mergeCell ref="D2:F5"/>
    <mergeCell ref="B8:C8"/>
    <mergeCell ref="B7:C7"/>
    <mergeCell ref="B2:C2"/>
    <mergeCell ref="B3:C3"/>
    <mergeCell ref="B4:C4"/>
  </mergeCells>
  <phoneticPr fontId="1" type="noConversion"/>
  <dataValidations count="5">
    <dataValidation allowBlank="1" showInputMessage="1" showErrorMessage="1" prompt="Enter Product Number in this column under this heading. Use heading filters to find specific entries" sqref="B9" xr:uid="{1A47032C-7433-492F-AE2A-5B3558950E66}"/>
    <dataValidation allowBlank="1" showInputMessage="1" showErrorMessage="1" prompt="Enter Name in this column under this heading" sqref="C9" xr:uid="{32ED14E1-4406-459A-BF6E-D3130C288D57}"/>
    <dataValidation allowBlank="1" showInputMessage="1" showErrorMessage="1" prompt="Enter Description in this column under this heading" sqref="D9" xr:uid="{6D3002F0-3DA0-4CA8-87BA-D3310E1F613E}"/>
    <dataValidation allowBlank="1" showInputMessage="1" showErrorMessage="1" prompt="Enter Retail Price per Unit in this column under this heading" sqref="E9" xr:uid="{59177BD3-FB62-44C6-97BD-24BCCDE05FBD}"/>
    <dataValidation allowBlank="1" showInputMessage="1" showErrorMessage="1" prompt="Enter Bulk Price per Unit in this column under this heading" sqref="F9:G9" xr:uid="{00000000-0002-0000-0000-000007000000}"/>
  </dataValidations>
  <printOptions horizontalCentered="1"/>
  <pageMargins left="0.4" right="0.4" top="0.4" bottom="0.5" header="0.3" footer="0.3"/>
  <pageSetup scale="58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2F0A973-6373-4401-9780-0E1B91DE94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213964-EC5A-47A0-BB9B-DA1DF6878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D00D3C-F629-4112-B221-29BB5EA25D2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TM03986989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Product price list</vt:lpstr>
      <vt:lpstr>ColumnTitle1</vt:lpstr>
      <vt:lpstr>'Product 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2023-05-27T05:28:13Z</dcterms:created>
  <dcterms:modified xsi:type="dcterms:W3CDTF">2026-05-21T14:21:51Z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